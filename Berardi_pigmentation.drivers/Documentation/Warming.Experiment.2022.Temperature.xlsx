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erberardi/Desktop/PigDrivers/"/>
    </mc:Choice>
  </mc:AlternateContent>
  <xr:revisionPtr revIDLastSave="0" documentId="13_ncr:1_{E46B4B34-661D-744E-8809-02DB5435D451}" xr6:coauthVersionLast="47" xr6:coauthVersionMax="47" xr10:uidLastSave="{00000000-0000-0000-0000-000000000000}"/>
  <bookViews>
    <workbookView xWindow="380" yWindow="500" windowWidth="28040" windowHeight="16300" xr2:uid="{C2C817AE-2A9F-654A-A818-C8F35D285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K5" i="1"/>
  <c r="J5" i="1"/>
  <c r="I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3" i="1"/>
  <c r="G2" i="1"/>
</calcChain>
</file>

<file path=xl/sharedStrings.xml><?xml version="1.0" encoding="utf-8"?>
<sst xmlns="http://schemas.openxmlformats.org/spreadsheetml/2006/main" count="139" uniqueCount="13">
  <si>
    <t>Fall</t>
  </si>
  <si>
    <t>Summer</t>
  </si>
  <si>
    <t>Date</t>
  </si>
  <si>
    <t>Phase</t>
  </si>
  <si>
    <t>Mean Daily High Temperature °C (Control Cages)</t>
  </si>
  <si>
    <t>Mean Daily High Temperature °C (Warming Cages)</t>
  </si>
  <si>
    <t>Standard Error °C (Control Cages)</t>
  </si>
  <si>
    <t>Standard Error °C (Warming Cages)</t>
  </si>
  <si>
    <t>Temperature Difference (Warming - Control)</t>
  </si>
  <si>
    <t>Mean Temperature Difference °C</t>
  </si>
  <si>
    <t>Standard Error °C</t>
  </si>
  <si>
    <t>Mean Temperature Difference °C (Summer phase)</t>
  </si>
  <si>
    <t>Mean Temperature Difference °C    (Fall 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</si>
</sst>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yyyy\-mm\-dd;@"/>
  </numFmts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8B97-D872-E342-A104-FF0FE144E273}">
  <dimension ref="A1:K127"/>
  <sheetViews>
    <sheetView tabSelected="1" workbookViewId="0">
      <selection activeCell="J16" sqref="J16"/>
    </sheetView>
  </sheetViews>
  <sheetFormatPr baseColWidth="10" defaultRowHeight="14" x14ac:dyDescent="0.15"/>
  <cols>
    <col min="1" max="2" width="10.83203125" style="3"/>
    <col min="3" max="3" width="18.83203125" style="3" bestFit="1" customWidth="1"/>
    <col min="4" max="4" width="18" style="3" customWidth="1"/>
    <col min="5" max="5" width="16.83203125" style="3" bestFit="1" customWidth="1"/>
    <col min="6" max="6" width="18.6640625" style="3" customWidth="1"/>
    <col min="7" max="7" width="18.33203125" style="3" customWidth="1"/>
    <col min="8" max="8" width="10.83203125" style="3" customWidth="1"/>
    <col min="9" max="9" width="17.83203125" style="3" customWidth="1"/>
    <col min="10" max="11" width="17.6640625" style="3" bestFit="1" customWidth="1"/>
    <col min="12" max="16384" width="10.83203125" style="3"/>
  </cols>
  <sheetData>
    <row r="1" spans="1:11" ht="48" customHeight="1" x14ac:dyDescent="0.15">
      <c r="A1" s="1" t="s">
        <v>2</v>
      </c>
      <c r="B1" s="1" t="s">
        <v>3</v>
      </c>
      <c r="C1" s="2" t="s">
        <v>4</v>
      </c>
      <c r="D1" s="2" t="s">
        <v>6</v>
      </c>
      <c r="E1" s="2" t="s">
        <v>5</v>
      </c>
      <c r="F1" s="2" t="s">
        <v>7</v>
      </c>
      <c r="G1" s="4" t="s">
        <v>8</v>
      </c>
      <c r="H1" s="4"/>
      <c r="I1" s="7" t="s">
        <v>9</v>
      </c>
      <c r="J1" s="7" t="s">
        <v>11</v>
      </c>
      <c r="K1" s="7" t="s">
        <v>12</v>
      </c>
    </row>
    <row r="2" spans="1:11" x14ac:dyDescent="0.15">
      <c r="A2" s="9">
        <v>44748</v>
      </c>
      <c r="B2" s="3" t="s">
        <v>1</v>
      </c>
      <c r="C2" s="5">
        <v>32.867100000000001</v>
      </c>
      <c r="D2" s="5">
        <v>0.22663552000000001</v>
      </c>
      <c r="E2" s="5">
        <v>33.702629999999999</v>
      </c>
      <c r="F2" s="5">
        <v>0.19330446000000001</v>
      </c>
      <c r="G2" s="5">
        <f>E2-C2</f>
        <v>0.83552999999999855</v>
      </c>
      <c r="H2" s="6"/>
      <c r="I2" s="5">
        <f>AVERAGE(G2:G127)</f>
        <v>0.85641190476190487</v>
      </c>
      <c r="J2" s="5">
        <f>AVERAGE(G2:G64)</f>
        <v>0.98753238095238116</v>
      </c>
      <c r="K2" s="5">
        <f>AVERAGE(G65:G127)</f>
        <v>0.72529142857142848</v>
      </c>
    </row>
    <row r="3" spans="1:11" x14ac:dyDescent="0.15">
      <c r="A3" s="9">
        <v>44749</v>
      </c>
      <c r="B3" s="3" t="s">
        <v>1</v>
      </c>
      <c r="C3" s="5">
        <v>29.940169999999998</v>
      </c>
      <c r="D3" s="5">
        <v>0.45556195999999999</v>
      </c>
      <c r="E3" s="5">
        <v>30.865649999999999</v>
      </c>
      <c r="F3" s="5">
        <v>0.31699524000000001</v>
      </c>
      <c r="G3" s="5">
        <f>E3-C3</f>
        <v>0.9254800000000003</v>
      </c>
      <c r="H3" s="6"/>
      <c r="I3" s="8"/>
      <c r="J3" s="8"/>
      <c r="K3" s="8"/>
    </row>
    <row r="4" spans="1:11" x14ac:dyDescent="0.15">
      <c r="A4" s="9">
        <v>44750</v>
      </c>
      <c r="B4" s="3" t="s">
        <v>1</v>
      </c>
      <c r="C4" s="5">
        <v>32.485590000000002</v>
      </c>
      <c r="D4" s="5">
        <v>0.33498997000000003</v>
      </c>
      <c r="E4" s="5">
        <v>33.432119999999998</v>
      </c>
      <c r="F4" s="5">
        <v>0.22229018</v>
      </c>
      <c r="G4" s="5">
        <f t="shared" ref="G4:G67" si="0">E4-C4</f>
        <v>0.94652999999999565</v>
      </c>
      <c r="H4" s="6"/>
      <c r="I4" s="8" t="s">
        <v>10</v>
      </c>
      <c r="J4" s="8" t="s">
        <v>10</v>
      </c>
      <c r="K4" s="8" t="s">
        <v>10</v>
      </c>
    </row>
    <row r="5" spans="1:11" x14ac:dyDescent="0.15">
      <c r="A5" s="9">
        <v>44751</v>
      </c>
      <c r="B5" s="3" t="s">
        <v>1</v>
      </c>
      <c r="C5" s="5">
        <v>25.163409999999999</v>
      </c>
      <c r="D5" s="5">
        <v>0.23814073999999999</v>
      </c>
      <c r="E5" s="5">
        <v>25.749379999999999</v>
      </c>
      <c r="F5" s="5">
        <v>0.20596552000000001</v>
      </c>
      <c r="G5" s="5">
        <f t="shared" si="0"/>
        <v>0.58596999999999966</v>
      </c>
      <c r="H5" s="6"/>
      <c r="I5" s="5">
        <f>STDEV(G2:G127)/SQRT(COUNT(G2:G127))</f>
        <v>2.7853373951670785E-2</v>
      </c>
      <c r="J5" s="5">
        <f>STDEV(G2:G64)/SQRT(COUNT(G2:G64))</f>
        <v>3.0051413221273249E-2</v>
      </c>
      <c r="K5" s="5">
        <f>STDEV(G65:G127)/SQRT(COUNT(G65:G127))</f>
        <v>4.0872743205161315E-2</v>
      </c>
    </row>
    <row r="6" spans="1:11" x14ac:dyDescent="0.15">
      <c r="A6" s="9">
        <v>44752</v>
      </c>
      <c r="B6" s="3" t="s">
        <v>1</v>
      </c>
      <c r="C6" s="5">
        <v>29.043859999999999</v>
      </c>
      <c r="D6" s="5">
        <v>0.23657352000000001</v>
      </c>
      <c r="E6" s="5">
        <v>29.702970000000001</v>
      </c>
      <c r="F6" s="5">
        <v>0.18386891</v>
      </c>
      <c r="G6" s="5">
        <f t="shared" si="0"/>
        <v>0.65911000000000186</v>
      </c>
      <c r="H6" s="6"/>
    </row>
    <row r="7" spans="1:11" x14ac:dyDescent="0.15">
      <c r="A7" s="9">
        <v>44753</v>
      </c>
      <c r="B7" s="3" t="s">
        <v>1</v>
      </c>
      <c r="C7" s="5">
        <v>34.158189999999998</v>
      </c>
      <c r="D7" s="5">
        <v>0.76766612000000001</v>
      </c>
      <c r="E7" s="5">
        <v>35.486179999999997</v>
      </c>
      <c r="F7" s="5">
        <v>0.39181707999999998</v>
      </c>
      <c r="G7" s="5">
        <f t="shared" si="0"/>
        <v>1.3279899999999998</v>
      </c>
      <c r="H7" s="6"/>
    </row>
    <row r="8" spans="1:11" x14ac:dyDescent="0.15">
      <c r="A8" s="9">
        <v>44754</v>
      </c>
      <c r="B8" s="3" t="s">
        <v>1</v>
      </c>
      <c r="C8" s="5">
        <v>36.802700000000002</v>
      </c>
      <c r="D8" s="5">
        <v>0.57553869999999996</v>
      </c>
      <c r="E8" s="5">
        <v>37.775790000000001</v>
      </c>
      <c r="F8" s="5">
        <v>0.31216719999999998</v>
      </c>
      <c r="G8" s="5">
        <f t="shared" si="0"/>
        <v>0.97308999999999912</v>
      </c>
      <c r="H8" s="6"/>
    </row>
    <row r="9" spans="1:11" x14ac:dyDescent="0.15">
      <c r="A9" s="9">
        <v>44755</v>
      </c>
      <c r="B9" s="3" t="s">
        <v>1</v>
      </c>
      <c r="C9" s="5">
        <v>37.393090000000001</v>
      </c>
      <c r="D9" s="5">
        <v>0.53075559000000005</v>
      </c>
      <c r="E9" s="5">
        <v>38.717210000000001</v>
      </c>
      <c r="F9" s="5">
        <v>0.27841167999999999</v>
      </c>
      <c r="G9" s="5">
        <f t="shared" si="0"/>
        <v>1.3241200000000006</v>
      </c>
      <c r="H9" s="6"/>
    </row>
    <row r="10" spans="1:11" x14ac:dyDescent="0.15">
      <c r="A10" s="9">
        <v>44756</v>
      </c>
      <c r="B10" s="3" t="s">
        <v>1</v>
      </c>
      <c r="C10" s="5">
        <v>36.799630000000001</v>
      </c>
      <c r="D10" s="5">
        <v>0.47819331999999998</v>
      </c>
      <c r="E10" s="5">
        <v>37.964469999999999</v>
      </c>
      <c r="F10" s="5">
        <v>0.26672183999999999</v>
      </c>
      <c r="G10" s="5">
        <f t="shared" si="0"/>
        <v>1.1648399999999981</v>
      </c>
      <c r="H10" s="6"/>
    </row>
    <row r="11" spans="1:11" x14ac:dyDescent="0.15">
      <c r="A11" s="9">
        <v>44757</v>
      </c>
      <c r="B11" s="3" t="s">
        <v>1</v>
      </c>
      <c r="C11" s="5">
        <v>35.502409999999998</v>
      </c>
      <c r="D11" s="5">
        <v>0.44753493</v>
      </c>
      <c r="E11" s="5">
        <v>36.591659999999997</v>
      </c>
      <c r="F11" s="5">
        <v>0.27570498999999998</v>
      </c>
      <c r="G11" s="5">
        <f t="shared" si="0"/>
        <v>1.0892499999999998</v>
      </c>
      <c r="H11" s="6"/>
    </row>
    <row r="12" spans="1:11" x14ac:dyDescent="0.15">
      <c r="A12" s="9">
        <v>44758</v>
      </c>
      <c r="B12" s="3" t="s">
        <v>1</v>
      </c>
      <c r="C12" s="5">
        <v>34.316009999999999</v>
      </c>
      <c r="D12" s="5">
        <v>0.26343065999999998</v>
      </c>
      <c r="E12" s="5">
        <v>35.282800000000002</v>
      </c>
      <c r="F12" s="5">
        <v>0.15880305</v>
      </c>
      <c r="G12" s="5">
        <f t="shared" si="0"/>
        <v>0.96679000000000315</v>
      </c>
      <c r="H12" s="6"/>
    </row>
    <row r="13" spans="1:11" x14ac:dyDescent="0.15">
      <c r="A13" s="9">
        <v>44759</v>
      </c>
      <c r="B13" s="3" t="s">
        <v>1</v>
      </c>
      <c r="C13" s="5">
        <v>32.914079999999998</v>
      </c>
      <c r="D13" s="5">
        <v>0.31056261000000002</v>
      </c>
      <c r="E13" s="5">
        <v>33.883769999999998</v>
      </c>
      <c r="F13" s="5">
        <v>0.19960064999999999</v>
      </c>
      <c r="G13" s="5">
        <f t="shared" si="0"/>
        <v>0.96968999999999994</v>
      </c>
      <c r="H13" s="6"/>
    </row>
    <row r="14" spans="1:11" x14ac:dyDescent="0.15">
      <c r="A14" s="9">
        <v>44760</v>
      </c>
      <c r="B14" s="3" t="s">
        <v>1</v>
      </c>
      <c r="C14" s="5">
        <v>35.553989999999999</v>
      </c>
      <c r="D14" s="5">
        <v>0.27319294</v>
      </c>
      <c r="E14" s="5">
        <v>36.248060000000002</v>
      </c>
      <c r="F14" s="5">
        <v>0.16590445000000001</v>
      </c>
      <c r="G14" s="5">
        <f t="shared" si="0"/>
        <v>0.69407000000000352</v>
      </c>
      <c r="H14" s="6"/>
    </row>
    <row r="15" spans="1:11" x14ac:dyDescent="0.15">
      <c r="A15" s="9">
        <v>44761</v>
      </c>
      <c r="B15" s="3" t="s">
        <v>1</v>
      </c>
      <c r="C15" s="5">
        <v>37.43956</v>
      </c>
      <c r="D15" s="5">
        <v>0.48626183000000001</v>
      </c>
      <c r="E15" s="5">
        <v>38.651670000000003</v>
      </c>
      <c r="F15" s="5">
        <v>0.26211894000000002</v>
      </c>
      <c r="G15" s="5">
        <f t="shared" si="0"/>
        <v>1.2121100000000027</v>
      </c>
      <c r="H15" s="6"/>
    </row>
    <row r="16" spans="1:11" x14ac:dyDescent="0.15">
      <c r="A16" s="9">
        <v>44762</v>
      </c>
      <c r="B16" s="3" t="s">
        <v>1</v>
      </c>
      <c r="C16" s="5">
        <v>40.02993</v>
      </c>
      <c r="D16" s="5">
        <v>0.44336198999999998</v>
      </c>
      <c r="E16" s="5">
        <v>41.226489999999998</v>
      </c>
      <c r="F16" s="5">
        <v>0.2763832</v>
      </c>
      <c r="G16" s="5">
        <f t="shared" si="0"/>
        <v>1.1965599999999981</v>
      </c>
      <c r="H16" s="6"/>
    </row>
    <row r="17" spans="1:8" x14ac:dyDescent="0.15">
      <c r="A17" s="9">
        <v>44763</v>
      </c>
      <c r="B17" s="3" t="s">
        <v>1</v>
      </c>
      <c r="C17" s="5">
        <v>38.789900000000003</v>
      </c>
      <c r="D17" s="5">
        <v>0.34409571999999999</v>
      </c>
      <c r="E17" s="5">
        <v>39.779389999999999</v>
      </c>
      <c r="F17" s="5">
        <v>0.22175032</v>
      </c>
      <c r="G17" s="5">
        <f t="shared" si="0"/>
        <v>0.98948999999999643</v>
      </c>
      <c r="H17" s="6"/>
    </row>
    <row r="18" spans="1:8" x14ac:dyDescent="0.15">
      <c r="A18" s="9">
        <v>44764</v>
      </c>
      <c r="B18" s="3" t="s">
        <v>1</v>
      </c>
      <c r="C18" s="5">
        <v>40.067720000000001</v>
      </c>
      <c r="D18" s="5">
        <v>0.44147695999999997</v>
      </c>
      <c r="E18" s="5">
        <v>41.307920000000003</v>
      </c>
      <c r="F18" s="5">
        <v>0.28745006000000001</v>
      </c>
      <c r="G18" s="5">
        <f t="shared" si="0"/>
        <v>1.2402000000000015</v>
      </c>
      <c r="H18" s="6"/>
    </row>
    <row r="19" spans="1:8" x14ac:dyDescent="0.15">
      <c r="A19" s="9">
        <v>44765</v>
      </c>
      <c r="B19" s="3" t="s">
        <v>1</v>
      </c>
      <c r="C19" s="5">
        <v>40.2761</v>
      </c>
      <c r="D19" s="5">
        <v>0.41978621999999999</v>
      </c>
      <c r="E19" s="5">
        <v>41.54824</v>
      </c>
      <c r="F19" s="5">
        <v>0.27077126000000001</v>
      </c>
      <c r="G19" s="5">
        <f t="shared" si="0"/>
        <v>1.2721400000000003</v>
      </c>
      <c r="H19" s="6"/>
    </row>
    <row r="20" spans="1:8" x14ac:dyDescent="0.15">
      <c r="A20" s="9">
        <v>44766</v>
      </c>
      <c r="B20" s="3" t="s">
        <v>1</v>
      </c>
      <c r="C20" s="5">
        <v>40.13156</v>
      </c>
      <c r="D20" s="5">
        <v>0.36401663000000001</v>
      </c>
      <c r="E20" s="5">
        <v>41.28528</v>
      </c>
      <c r="F20" s="5">
        <v>0.21379155999999999</v>
      </c>
      <c r="G20" s="5">
        <f t="shared" si="0"/>
        <v>1.1537199999999999</v>
      </c>
      <c r="H20" s="6"/>
    </row>
    <row r="21" spans="1:8" x14ac:dyDescent="0.15">
      <c r="A21" s="9">
        <v>44767</v>
      </c>
      <c r="B21" s="3" t="s">
        <v>1</v>
      </c>
      <c r="C21" s="5">
        <v>33.507539999999999</v>
      </c>
      <c r="D21" s="5">
        <v>0.15524876000000001</v>
      </c>
      <c r="E21" s="5">
        <v>33.95964</v>
      </c>
      <c r="F21" s="5">
        <v>0.15454344</v>
      </c>
      <c r="G21" s="5">
        <f t="shared" si="0"/>
        <v>0.4521000000000015</v>
      </c>
      <c r="H21" s="6"/>
    </row>
    <row r="22" spans="1:8" x14ac:dyDescent="0.15">
      <c r="A22" s="9">
        <v>44768</v>
      </c>
      <c r="B22" s="3" t="s">
        <v>1</v>
      </c>
      <c r="C22" s="5">
        <v>27.998919999999998</v>
      </c>
      <c r="D22" s="5">
        <v>0.17427244</v>
      </c>
      <c r="E22" s="5">
        <v>28.64198</v>
      </c>
      <c r="F22" s="5">
        <v>0.12430503</v>
      </c>
      <c r="G22" s="5">
        <f t="shared" si="0"/>
        <v>0.64306000000000196</v>
      </c>
      <c r="H22" s="6"/>
    </row>
    <row r="23" spans="1:8" x14ac:dyDescent="0.15">
      <c r="A23" s="9">
        <v>44769</v>
      </c>
      <c r="B23" s="3" t="s">
        <v>1</v>
      </c>
      <c r="C23" s="5">
        <v>34.11121</v>
      </c>
      <c r="D23" s="5">
        <v>0.22138374999999999</v>
      </c>
      <c r="E23" s="5">
        <v>34.873260000000002</v>
      </c>
      <c r="F23" s="5">
        <v>0.21805673</v>
      </c>
      <c r="G23" s="5">
        <f t="shared" si="0"/>
        <v>0.76205000000000211</v>
      </c>
      <c r="H23" s="6"/>
    </row>
    <row r="24" spans="1:8" x14ac:dyDescent="0.15">
      <c r="A24" s="9">
        <v>44770</v>
      </c>
      <c r="B24" s="3" t="s">
        <v>1</v>
      </c>
      <c r="C24" s="5">
        <v>35.810879999999997</v>
      </c>
      <c r="D24" s="5">
        <v>0.19571421999999999</v>
      </c>
      <c r="E24" s="5">
        <v>36.561070000000001</v>
      </c>
      <c r="F24" s="5">
        <v>0.16856562999999999</v>
      </c>
      <c r="G24" s="5">
        <f t="shared" si="0"/>
        <v>0.75019000000000347</v>
      </c>
      <c r="H24" s="6"/>
    </row>
    <row r="25" spans="1:8" x14ac:dyDescent="0.15">
      <c r="A25" s="9">
        <v>44771</v>
      </c>
      <c r="B25" s="3" t="s">
        <v>1</v>
      </c>
      <c r="C25" s="5">
        <v>31.723089999999999</v>
      </c>
      <c r="D25" s="5">
        <v>0.23633708</v>
      </c>
      <c r="E25" s="5">
        <v>32.496659999999999</v>
      </c>
      <c r="F25" s="5">
        <v>0.13594528</v>
      </c>
      <c r="G25" s="5">
        <f t="shared" si="0"/>
        <v>0.77356999999999942</v>
      </c>
      <c r="H25" s="6"/>
    </row>
    <row r="26" spans="1:8" x14ac:dyDescent="0.15">
      <c r="A26" s="9">
        <v>44772</v>
      </c>
      <c r="B26" s="3" t="s">
        <v>1</v>
      </c>
      <c r="C26" s="5">
        <v>34.872689999999999</v>
      </c>
      <c r="D26" s="5">
        <v>0.44491406999999999</v>
      </c>
      <c r="E26" s="5">
        <v>36.208730000000003</v>
      </c>
      <c r="F26" s="5">
        <v>0.33555404</v>
      </c>
      <c r="G26" s="5">
        <f t="shared" si="0"/>
        <v>1.3360400000000041</v>
      </c>
      <c r="H26" s="6"/>
    </row>
    <row r="27" spans="1:8" x14ac:dyDescent="0.15">
      <c r="A27" s="9">
        <v>44773</v>
      </c>
      <c r="B27" s="3" t="s">
        <v>1</v>
      </c>
      <c r="C27" s="5">
        <v>35.12294</v>
      </c>
      <c r="D27" s="5">
        <v>0.28482950000000001</v>
      </c>
      <c r="E27" s="5">
        <v>36.158679999999997</v>
      </c>
      <c r="F27" s="5">
        <v>0.18135535</v>
      </c>
      <c r="G27" s="5">
        <f t="shared" si="0"/>
        <v>1.035739999999997</v>
      </c>
      <c r="H27" s="6"/>
    </row>
    <row r="28" spans="1:8" x14ac:dyDescent="0.15">
      <c r="A28" s="9">
        <v>44774</v>
      </c>
      <c r="B28" s="3" t="s">
        <v>1</v>
      </c>
      <c r="C28" s="5">
        <v>26.11795</v>
      </c>
      <c r="D28" s="5">
        <v>0.23262299</v>
      </c>
      <c r="E28" s="5">
        <v>26.86955</v>
      </c>
      <c r="F28" s="5">
        <v>0.16430031</v>
      </c>
      <c r="G28" s="5">
        <f t="shared" si="0"/>
        <v>0.75159999999999982</v>
      </c>
      <c r="H28" s="6"/>
    </row>
    <row r="29" spans="1:8" x14ac:dyDescent="0.15">
      <c r="A29" s="9">
        <v>44775</v>
      </c>
      <c r="B29" s="3" t="s">
        <v>1</v>
      </c>
      <c r="C29" s="5">
        <v>35.423760000000001</v>
      </c>
      <c r="D29" s="5">
        <v>0.35843313999999998</v>
      </c>
      <c r="E29" s="5">
        <v>36.657200000000003</v>
      </c>
      <c r="F29" s="5">
        <v>0.27218557999999998</v>
      </c>
      <c r="G29" s="5">
        <f t="shared" si="0"/>
        <v>1.2334400000000016</v>
      </c>
      <c r="H29" s="6"/>
    </row>
    <row r="30" spans="1:8" x14ac:dyDescent="0.15">
      <c r="A30" s="9">
        <v>44776</v>
      </c>
      <c r="B30" s="3" t="s">
        <v>1</v>
      </c>
      <c r="C30" s="5">
        <v>36.482480000000002</v>
      </c>
      <c r="D30" s="5">
        <v>0.41425949000000001</v>
      </c>
      <c r="E30" s="5">
        <v>37.71461</v>
      </c>
      <c r="F30" s="5">
        <v>0.31840866000000001</v>
      </c>
      <c r="G30" s="5">
        <f t="shared" si="0"/>
        <v>1.2321299999999979</v>
      </c>
      <c r="H30" s="6"/>
    </row>
    <row r="31" spans="1:8" x14ac:dyDescent="0.15">
      <c r="A31" s="9">
        <v>44777</v>
      </c>
      <c r="B31" s="3" t="s">
        <v>1</v>
      </c>
      <c r="C31" s="5">
        <v>39.194899999999997</v>
      </c>
      <c r="D31" s="5">
        <v>0.36201736000000001</v>
      </c>
      <c r="E31" s="5">
        <v>40.396680000000003</v>
      </c>
      <c r="F31" s="5">
        <v>0.26052473999999998</v>
      </c>
      <c r="G31" s="5">
        <f t="shared" si="0"/>
        <v>1.2017800000000065</v>
      </c>
      <c r="H31" s="6"/>
    </row>
    <row r="32" spans="1:8" x14ac:dyDescent="0.15">
      <c r="A32" s="9">
        <v>44778</v>
      </c>
      <c r="B32" s="3" t="s">
        <v>1</v>
      </c>
      <c r="C32" s="5">
        <v>34.398739999999997</v>
      </c>
      <c r="D32" s="5">
        <v>0.31216918999999999</v>
      </c>
      <c r="E32" s="5">
        <v>35.593429999999998</v>
      </c>
      <c r="F32" s="5">
        <v>0.22513517</v>
      </c>
      <c r="G32" s="5">
        <f t="shared" si="0"/>
        <v>1.1946900000000014</v>
      </c>
      <c r="H32" s="6"/>
    </row>
    <row r="33" spans="1:8" x14ac:dyDescent="0.15">
      <c r="A33" s="9">
        <v>44779</v>
      </c>
      <c r="B33" s="3" t="s">
        <v>1</v>
      </c>
      <c r="C33" s="5">
        <v>34.992199999999997</v>
      </c>
      <c r="D33" s="5">
        <v>0.33687582999999999</v>
      </c>
      <c r="E33" s="5">
        <v>35.913200000000003</v>
      </c>
      <c r="F33" s="5">
        <v>0.20622219999999999</v>
      </c>
      <c r="G33" s="5">
        <f t="shared" si="0"/>
        <v>0.92100000000000648</v>
      </c>
      <c r="H33" s="6"/>
    </row>
    <row r="34" spans="1:8" x14ac:dyDescent="0.15">
      <c r="A34" s="9">
        <v>44780</v>
      </c>
      <c r="B34" s="3" t="s">
        <v>1</v>
      </c>
      <c r="C34" s="5">
        <v>37.903300000000002</v>
      </c>
      <c r="D34" s="5">
        <v>0.40789405000000001</v>
      </c>
      <c r="E34" s="5">
        <v>39.02149</v>
      </c>
      <c r="F34" s="5">
        <v>0.26924976</v>
      </c>
      <c r="G34" s="5">
        <f t="shared" si="0"/>
        <v>1.1181899999999985</v>
      </c>
      <c r="H34" s="6"/>
    </row>
    <row r="35" spans="1:8" x14ac:dyDescent="0.15">
      <c r="A35" s="9">
        <v>44781</v>
      </c>
      <c r="B35" s="3" t="s">
        <v>1</v>
      </c>
      <c r="C35" s="5">
        <v>37.521279999999997</v>
      </c>
      <c r="D35" s="5">
        <v>0.28072373</v>
      </c>
      <c r="E35" s="5">
        <v>38.333889999999997</v>
      </c>
      <c r="F35" s="5">
        <v>0.23765685</v>
      </c>
      <c r="G35" s="5">
        <f t="shared" si="0"/>
        <v>0.81260999999999939</v>
      </c>
      <c r="H35" s="6"/>
    </row>
    <row r="36" spans="1:8" x14ac:dyDescent="0.15">
      <c r="A36" s="9">
        <v>44782</v>
      </c>
      <c r="B36" s="3" t="s">
        <v>1</v>
      </c>
      <c r="C36" s="5">
        <v>38.720959999999998</v>
      </c>
      <c r="D36" s="5">
        <v>0.29360357999999998</v>
      </c>
      <c r="E36" s="5">
        <v>39.859630000000003</v>
      </c>
      <c r="F36" s="5">
        <v>0.27093947000000002</v>
      </c>
      <c r="G36" s="5">
        <f t="shared" si="0"/>
        <v>1.1386700000000047</v>
      </c>
      <c r="H36" s="6"/>
    </row>
    <row r="37" spans="1:8" x14ac:dyDescent="0.15">
      <c r="A37" s="9">
        <v>44783</v>
      </c>
      <c r="B37" s="3" t="s">
        <v>1</v>
      </c>
      <c r="C37" s="5">
        <v>33.931440000000002</v>
      </c>
      <c r="D37" s="5">
        <v>0.22797466</v>
      </c>
      <c r="E37" s="5">
        <v>34.866109999999999</v>
      </c>
      <c r="F37" s="5">
        <v>0.16852455</v>
      </c>
      <c r="G37" s="5">
        <f t="shared" si="0"/>
        <v>0.934669999999997</v>
      </c>
      <c r="H37" s="6"/>
    </row>
    <row r="38" spans="1:8" x14ac:dyDescent="0.15">
      <c r="A38" s="9">
        <v>44784</v>
      </c>
      <c r="B38" s="3" t="s">
        <v>1</v>
      </c>
      <c r="C38" s="5">
        <v>33.600490000000001</v>
      </c>
      <c r="D38" s="5">
        <v>0.34717970999999997</v>
      </c>
      <c r="E38" s="5">
        <v>34.744950000000003</v>
      </c>
      <c r="F38" s="5">
        <v>0.27295406</v>
      </c>
      <c r="G38" s="5">
        <f t="shared" si="0"/>
        <v>1.1444600000000023</v>
      </c>
      <c r="H38" s="6"/>
    </row>
    <row r="39" spans="1:8" x14ac:dyDescent="0.15">
      <c r="A39" s="9">
        <v>44785</v>
      </c>
      <c r="B39" s="3" t="s">
        <v>1</v>
      </c>
      <c r="C39" s="5">
        <v>31.787949999999999</v>
      </c>
      <c r="D39" s="5">
        <v>0.31470331000000001</v>
      </c>
      <c r="E39" s="5">
        <v>32.838270000000001</v>
      </c>
      <c r="F39" s="5">
        <v>0.23964408000000001</v>
      </c>
      <c r="G39" s="5">
        <f t="shared" si="0"/>
        <v>1.0503200000000028</v>
      </c>
      <c r="H39" s="6"/>
    </row>
    <row r="40" spans="1:8" x14ac:dyDescent="0.15">
      <c r="A40" s="9">
        <v>44786</v>
      </c>
      <c r="B40" s="3" t="s">
        <v>1</v>
      </c>
      <c r="C40" s="5">
        <v>31.469259999999998</v>
      </c>
      <c r="D40" s="5">
        <v>0.43528076999999998</v>
      </c>
      <c r="E40" s="5">
        <v>32.78584</v>
      </c>
      <c r="F40" s="5">
        <v>0.34080055999999997</v>
      </c>
      <c r="G40" s="5">
        <f t="shared" si="0"/>
        <v>1.3165800000000019</v>
      </c>
      <c r="H40" s="6"/>
    </row>
    <row r="41" spans="1:8" x14ac:dyDescent="0.15">
      <c r="A41" s="9">
        <v>44787</v>
      </c>
      <c r="B41" s="3" t="s">
        <v>1</v>
      </c>
      <c r="C41" s="5">
        <v>32.509590000000003</v>
      </c>
      <c r="D41" s="5">
        <v>0.37130355999999998</v>
      </c>
      <c r="E41" s="5">
        <v>33.750700000000002</v>
      </c>
      <c r="F41" s="5">
        <v>0.25178055999999999</v>
      </c>
      <c r="G41" s="5">
        <f t="shared" si="0"/>
        <v>1.241109999999999</v>
      </c>
      <c r="H41" s="6"/>
    </row>
    <row r="42" spans="1:8" x14ac:dyDescent="0.15">
      <c r="A42" s="9">
        <v>44788</v>
      </c>
      <c r="B42" s="3" t="s">
        <v>1</v>
      </c>
      <c r="C42" s="5">
        <v>30.264980000000001</v>
      </c>
      <c r="D42" s="5">
        <v>0.32363599999999998</v>
      </c>
      <c r="E42" s="5">
        <v>31.16873</v>
      </c>
      <c r="F42" s="5">
        <v>0.19706035</v>
      </c>
      <c r="G42" s="5">
        <f t="shared" si="0"/>
        <v>0.90374999999999872</v>
      </c>
      <c r="H42" s="6"/>
    </row>
    <row r="43" spans="1:8" x14ac:dyDescent="0.15">
      <c r="A43" s="9">
        <v>44789</v>
      </c>
      <c r="B43" s="3" t="s">
        <v>1</v>
      </c>
      <c r="C43" s="5">
        <v>32.406939999999999</v>
      </c>
      <c r="D43" s="5">
        <v>0.43718317000000001</v>
      </c>
      <c r="E43" s="5">
        <v>33.595779999999998</v>
      </c>
      <c r="F43" s="5">
        <v>0.35903892999999998</v>
      </c>
      <c r="G43" s="5">
        <f t="shared" si="0"/>
        <v>1.188839999999999</v>
      </c>
      <c r="H43" s="6"/>
    </row>
    <row r="44" spans="1:8" x14ac:dyDescent="0.15">
      <c r="A44" s="9">
        <v>44790</v>
      </c>
      <c r="B44" s="3" t="s">
        <v>1</v>
      </c>
      <c r="C44" s="5">
        <v>28.831910000000001</v>
      </c>
      <c r="D44" s="5">
        <v>0.21327536</v>
      </c>
      <c r="E44" s="5">
        <v>29.400279999999999</v>
      </c>
      <c r="F44" s="5">
        <v>9.5384670000000005E-2</v>
      </c>
      <c r="G44" s="5">
        <f t="shared" si="0"/>
        <v>0.56836999999999804</v>
      </c>
      <c r="H44" s="6"/>
    </row>
    <row r="45" spans="1:8" x14ac:dyDescent="0.15">
      <c r="A45" s="9">
        <v>44791</v>
      </c>
      <c r="B45" s="3" t="s">
        <v>1</v>
      </c>
      <c r="C45" s="5">
        <v>33.584150000000001</v>
      </c>
      <c r="D45" s="5">
        <v>0.33768306999999997</v>
      </c>
      <c r="E45" s="5">
        <v>34.805329999999998</v>
      </c>
      <c r="F45" s="5">
        <v>0.28182550000000001</v>
      </c>
      <c r="G45" s="5">
        <f t="shared" si="0"/>
        <v>1.2211799999999968</v>
      </c>
      <c r="H45" s="6"/>
    </row>
    <row r="46" spans="1:8" x14ac:dyDescent="0.15">
      <c r="A46" s="9">
        <v>44792</v>
      </c>
      <c r="B46" s="3" t="s">
        <v>1</v>
      </c>
      <c r="C46" s="5">
        <v>36.694420000000001</v>
      </c>
      <c r="D46" s="5">
        <v>0.31659151000000002</v>
      </c>
      <c r="E46" s="5">
        <v>38.016109999999998</v>
      </c>
      <c r="F46" s="5">
        <v>0.28915257999999999</v>
      </c>
      <c r="G46" s="5">
        <f t="shared" si="0"/>
        <v>1.3216899999999967</v>
      </c>
      <c r="H46" s="6"/>
    </row>
    <row r="47" spans="1:8" x14ac:dyDescent="0.15">
      <c r="A47" s="9">
        <v>44793</v>
      </c>
      <c r="B47" s="3" t="s">
        <v>1</v>
      </c>
      <c r="C47" s="5">
        <v>36.55142</v>
      </c>
      <c r="D47" s="5">
        <v>0.29585001</v>
      </c>
      <c r="E47" s="5">
        <v>37.813920000000003</v>
      </c>
      <c r="F47" s="5">
        <v>0.28630285</v>
      </c>
      <c r="G47" s="5">
        <f t="shared" si="0"/>
        <v>1.2625000000000028</v>
      </c>
      <c r="H47" s="6"/>
    </row>
    <row r="48" spans="1:8" x14ac:dyDescent="0.15">
      <c r="A48" s="9">
        <v>44794</v>
      </c>
      <c r="B48" s="3" t="s">
        <v>1</v>
      </c>
      <c r="C48" s="5">
        <v>31.999389999999998</v>
      </c>
      <c r="D48" s="5">
        <v>0.15876269000000001</v>
      </c>
      <c r="E48" s="5">
        <v>32.649979999999999</v>
      </c>
      <c r="F48" s="5">
        <v>0.12070421000000001</v>
      </c>
      <c r="G48" s="5">
        <f t="shared" si="0"/>
        <v>0.65059000000000111</v>
      </c>
      <c r="H48" s="6"/>
    </row>
    <row r="49" spans="1:8" x14ac:dyDescent="0.15">
      <c r="A49" s="9">
        <v>44795</v>
      </c>
      <c r="B49" s="3" t="s">
        <v>1</v>
      </c>
      <c r="C49" s="5">
        <v>31.355879999999999</v>
      </c>
      <c r="D49" s="5">
        <v>0.31461626999999998</v>
      </c>
      <c r="E49" s="5">
        <v>32.371929999999999</v>
      </c>
      <c r="F49" s="5">
        <v>0.17237026999999999</v>
      </c>
      <c r="G49" s="5">
        <f t="shared" si="0"/>
        <v>1.0160499999999999</v>
      </c>
      <c r="H49" s="6"/>
    </row>
    <row r="50" spans="1:8" x14ac:dyDescent="0.15">
      <c r="A50" s="9">
        <v>44796</v>
      </c>
      <c r="B50" s="3" t="s">
        <v>1</v>
      </c>
      <c r="C50" s="5">
        <v>31.016760000000001</v>
      </c>
      <c r="D50" s="5">
        <v>0.30716138999999998</v>
      </c>
      <c r="E50" s="5">
        <v>32.108170000000001</v>
      </c>
      <c r="F50" s="5">
        <v>0.21355479999999999</v>
      </c>
      <c r="G50" s="5">
        <f t="shared" si="0"/>
        <v>1.0914099999999998</v>
      </c>
      <c r="H50" s="6"/>
    </row>
    <row r="51" spans="1:8" x14ac:dyDescent="0.15">
      <c r="A51" s="9">
        <v>44797</v>
      </c>
      <c r="B51" s="3" t="s">
        <v>1</v>
      </c>
      <c r="C51" s="5">
        <v>34.186279999999996</v>
      </c>
      <c r="D51" s="5">
        <v>0.31984505000000002</v>
      </c>
      <c r="E51" s="5">
        <v>35.307029999999997</v>
      </c>
      <c r="F51" s="5">
        <v>0.28867927999999998</v>
      </c>
      <c r="G51" s="5">
        <f t="shared" si="0"/>
        <v>1.120750000000001</v>
      </c>
      <c r="H51" s="6"/>
    </row>
    <row r="52" spans="1:8" x14ac:dyDescent="0.15">
      <c r="A52" s="9">
        <v>44798</v>
      </c>
      <c r="B52" s="3" t="s">
        <v>1</v>
      </c>
      <c r="C52" s="5">
        <v>34.906910000000003</v>
      </c>
      <c r="D52" s="5">
        <v>0.23620535000000001</v>
      </c>
      <c r="E52" s="5">
        <v>35.893329999999999</v>
      </c>
      <c r="F52" s="5">
        <v>0.24704093999999999</v>
      </c>
      <c r="G52" s="5">
        <f t="shared" si="0"/>
        <v>0.98641999999999541</v>
      </c>
      <c r="H52" s="6"/>
    </row>
    <row r="53" spans="1:8" x14ac:dyDescent="0.15">
      <c r="A53" s="9">
        <v>44799</v>
      </c>
      <c r="B53" s="3" t="s">
        <v>1</v>
      </c>
      <c r="C53" s="5">
        <v>35.281269999999999</v>
      </c>
      <c r="D53" s="5">
        <v>0.23809474</v>
      </c>
      <c r="E53" s="5">
        <v>36.176949999999998</v>
      </c>
      <c r="F53" s="5">
        <v>0.25243982999999998</v>
      </c>
      <c r="G53" s="5">
        <f t="shared" si="0"/>
        <v>0.8956799999999987</v>
      </c>
      <c r="H53" s="6"/>
    </row>
    <row r="54" spans="1:8" x14ac:dyDescent="0.15">
      <c r="A54" s="9">
        <v>44800</v>
      </c>
      <c r="B54" s="3" t="s">
        <v>1</v>
      </c>
      <c r="C54" s="5">
        <v>34.308860000000003</v>
      </c>
      <c r="D54" s="5">
        <v>0.23387805</v>
      </c>
      <c r="E54" s="5">
        <v>35.165219999999998</v>
      </c>
      <c r="F54" s="5">
        <v>0.25001911999999998</v>
      </c>
      <c r="G54" s="5">
        <f t="shared" si="0"/>
        <v>0.85635999999999513</v>
      </c>
      <c r="H54" s="6"/>
    </row>
    <row r="55" spans="1:8" x14ac:dyDescent="0.15">
      <c r="A55" s="9">
        <v>44801</v>
      </c>
      <c r="B55" s="3" t="s">
        <v>1</v>
      </c>
      <c r="C55" s="5">
        <v>31.389589999999998</v>
      </c>
      <c r="D55" s="5">
        <v>0.20308725999999999</v>
      </c>
      <c r="E55" s="5">
        <v>31.91432</v>
      </c>
      <c r="F55" s="5">
        <v>0.12200121</v>
      </c>
      <c r="G55" s="5">
        <f t="shared" si="0"/>
        <v>0.5247300000000017</v>
      </c>
      <c r="H55" s="6"/>
    </row>
    <row r="56" spans="1:8" x14ac:dyDescent="0.15">
      <c r="A56" s="9">
        <v>44802</v>
      </c>
      <c r="B56" s="3" t="s">
        <v>1</v>
      </c>
      <c r="C56" s="5">
        <v>36.068280000000001</v>
      </c>
      <c r="D56" s="5">
        <v>0.28251345</v>
      </c>
      <c r="E56" s="5">
        <v>37.233179999999997</v>
      </c>
      <c r="F56" s="5">
        <v>0.27000709000000001</v>
      </c>
      <c r="G56" s="5">
        <f t="shared" si="0"/>
        <v>1.1648999999999958</v>
      </c>
      <c r="H56" s="6"/>
    </row>
    <row r="57" spans="1:8" x14ac:dyDescent="0.15">
      <c r="A57" s="9">
        <v>44803</v>
      </c>
      <c r="B57" s="3" t="s">
        <v>1</v>
      </c>
      <c r="C57" s="5">
        <v>35.601489999999998</v>
      </c>
      <c r="D57" s="5">
        <v>0.20883534000000001</v>
      </c>
      <c r="E57" s="5">
        <v>36.475670000000001</v>
      </c>
      <c r="F57" s="5">
        <v>0.19653377999999999</v>
      </c>
      <c r="G57" s="5">
        <f t="shared" si="0"/>
        <v>0.87418000000000262</v>
      </c>
      <c r="H57" s="6"/>
    </row>
    <row r="58" spans="1:8" x14ac:dyDescent="0.15">
      <c r="A58" s="9">
        <v>44804</v>
      </c>
      <c r="B58" s="3" t="s">
        <v>1</v>
      </c>
      <c r="C58" s="5">
        <v>30.113810000000001</v>
      </c>
      <c r="D58" s="5">
        <v>0.23114081</v>
      </c>
      <c r="E58" s="5">
        <v>30.979649999999999</v>
      </c>
      <c r="F58" s="5">
        <v>0.19613506</v>
      </c>
      <c r="G58" s="5">
        <f t="shared" si="0"/>
        <v>0.86583999999999861</v>
      </c>
      <c r="H58" s="6"/>
    </row>
    <row r="59" spans="1:8" x14ac:dyDescent="0.15">
      <c r="A59" s="9">
        <v>44805</v>
      </c>
      <c r="B59" s="3" t="s">
        <v>1</v>
      </c>
      <c r="C59" s="5">
        <v>33.185279999999999</v>
      </c>
      <c r="D59" s="5">
        <v>0.34593533999999998</v>
      </c>
      <c r="E59" s="5">
        <v>34.332239999999999</v>
      </c>
      <c r="F59" s="5">
        <v>0.34074239000000001</v>
      </c>
      <c r="G59" s="5">
        <f t="shared" si="0"/>
        <v>1.14696</v>
      </c>
      <c r="H59" s="6"/>
    </row>
    <row r="60" spans="1:8" x14ac:dyDescent="0.15">
      <c r="A60" s="9">
        <v>44806</v>
      </c>
      <c r="B60" s="3" t="s">
        <v>1</v>
      </c>
      <c r="C60" s="5">
        <v>30.904399999999999</v>
      </c>
      <c r="D60" s="5">
        <v>0.40316259999999998</v>
      </c>
      <c r="E60" s="5">
        <v>32.036270000000002</v>
      </c>
      <c r="F60" s="5">
        <v>0.37366048000000002</v>
      </c>
      <c r="G60" s="5">
        <f t="shared" si="0"/>
        <v>1.1318700000000028</v>
      </c>
      <c r="H60" s="6"/>
    </row>
    <row r="61" spans="1:8" x14ac:dyDescent="0.15">
      <c r="A61" s="9">
        <v>44807</v>
      </c>
      <c r="B61" s="3" t="s">
        <v>1</v>
      </c>
      <c r="C61" s="5">
        <v>32.319609999999997</v>
      </c>
      <c r="D61" s="5">
        <v>0.23797146</v>
      </c>
      <c r="E61" s="5">
        <v>33.218420000000002</v>
      </c>
      <c r="F61" s="5">
        <v>0.23053193999999999</v>
      </c>
      <c r="G61" s="5">
        <f t="shared" si="0"/>
        <v>0.89881000000000455</v>
      </c>
      <c r="H61" s="6"/>
    </row>
    <row r="62" spans="1:8" x14ac:dyDescent="0.15">
      <c r="A62" s="9">
        <v>44808</v>
      </c>
      <c r="B62" s="3" t="s">
        <v>1</v>
      </c>
      <c r="C62" s="5">
        <v>33.478430000000003</v>
      </c>
      <c r="D62" s="5">
        <v>0.20127165</v>
      </c>
      <c r="E62" s="5">
        <v>34.258749999999999</v>
      </c>
      <c r="F62" s="5">
        <v>0.19467075</v>
      </c>
      <c r="G62" s="5">
        <f t="shared" si="0"/>
        <v>0.78031999999999613</v>
      </c>
      <c r="H62" s="6"/>
    </row>
    <row r="63" spans="1:8" x14ac:dyDescent="0.15">
      <c r="A63" s="9">
        <v>44809</v>
      </c>
      <c r="B63" s="3" t="s">
        <v>1</v>
      </c>
      <c r="C63" s="5">
        <v>33.635730000000002</v>
      </c>
      <c r="D63" s="5">
        <v>0.21748413</v>
      </c>
      <c r="E63" s="5">
        <v>34.385460000000002</v>
      </c>
      <c r="F63" s="5">
        <v>0.18792644999999999</v>
      </c>
      <c r="G63" s="5">
        <f t="shared" si="0"/>
        <v>0.74972999999999956</v>
      </c>
      <c r="H63" s="6"/>
    </row>
    <row r="64" spans="1:8" x14ac:dyDescent="0.15">
      <c r="A64" s="9">
        <v>44810</v>
      </c>
      <c r="B64" s="3" t="s">
        <v>1</v>
      </c>
      <c r="C64" s="5">
        <v>22.098590000000002</v>
      </c>
      <c r="D64" s="5">
        <v>0.15444611</v>
      </c>
      <c r="E64" s="5">
        <v>22.521519999999999</v>
      </c>
      <c r="F64" s="5">
        <v>7.7434080000000002E-2</v>
      </c>
      <c r="G64" s="5">
        <f t="shared" si="0"/>
        <v>0.42292999999999736</v>
      </c>
      <c r="H64" s="6"/>
    </row>
    <row r="65" spans="1:8" x14ac:dyDescent="0.15">
      <c r="A65" s="9">
        <v>44811</v>
      </c>
      <c r="B65" s="3" t="s">
        <v>0</v>
      </c>
      <c r="C65" s="5">
        <v>22.05518</v>
      </c>
      <c r="D65" s="5">
        <v>7.3224819999999996E-2</v>
      </c>
      <c r="E65" s="5">
        <v>22.36422</v>
      </c>
      <c r="F65" s="5">
        <v>6.6146449999999996E-2</v>
      </c>
      <c r="G65" s="5">
        <f t="shared" si="0"/>
        <v>0.30903999999999954</v>
      </c>
      <c r="H65" s="6"/>
    </row>
    <row r="66" spans="1:8" x14ac:dyDescent="0.15">
      <c r="A66" s="9">
        <v>44812</v>
      </c>
      <c r="B66" s="3" t="s">
        <v>0</v>
      </c>
      <c r="C66" s="5">
        <v>27.466760000000001</v>
      </c>
      <c r="D66" s="5">
        <v>0.20286045</v>
      </c>
      <c r="E66" s="5">
        <v>28.07077</v>
      </c>
      <c r="F66" s="5">
        <v>0.23716777999999999</v>
      </c>
      <c r="G66" s="5">
        <f t="shared" si="0"/>
        <v>0.60400999999999883</v>
      </c>
      <c r="H66" s="6"/>
    </row>
    <row r="67" spans="1:8" x14ac:dyDescent="0.15">
      <c r="A67" s="9">
        <v>44813</v>
      </c>
      <c r="B67" s="3" t="s">
        <v>0</v>
      </c>
      <c r="C67" s="5">
        <v>29.404419999999998</v>
      </c>
      <c r="D67" s="5">
        <v>0.33404012</v>
      </c>
      <c r="E67" s="5">
        <v>30.19275</v>
      </c>
      <c r="F67" s="5">
        <v>0.32882029000000002</v>
      </c>
      <c r="G67" s="5">
        <f t="shared" si="0"/>
        <v>0.78833000000000197</v>
      </c>
      <c r="H67" s="6"/>
    </row>
    <row r="68" spans="1:8" x14ac:dyDescent="0.15">
      <c r="A68" s="9">
        <v>44814</v>
      </c>
      <c r="B68" s="3" t="s">
        <v>0</v>
      </c>
      <c r="C68" s="5">
        <v>29.132210000000001</v>
      </c>
      <c r="D68" s="5">
        <v>0.18983430000000001</v>
      </c>
      <c r="E68" s="5">
        <v>29.7987</v>
      </c>
      <c r="F68" s="5">
        <v>0.25129283000000002</v>
      </c>
      <c r="G68" s="5">
        <f t="shared" ref="G68:G127" si="1">E68-C68</f>
        <v>0.66648999999999958</v>
      </c>
      <c r="H68" s="6"/>
    </row>
    <row r="69" spans="1:8" x14ac:dyDescent="0.15">
      <c r="A69" s="9">
        <v>44815</v>
      </c>
      <c r="B69" s="3" t="s">
        <v>0</v>
      </c>
      <c r="C69" s="5">
        <v>22.945360000000001</v>
      </c>
      <c r="D69" s="5">
        <v>7.2866550000000002E-2</v>
      </c>
      <c r="E69" s="5">
        <v>23.352119999999999</v>
      </c>
      <c r="F69" s="5">
        <v>4.004452E-2</v>
      </c>
      <c r="G69" s="5">
        <f t="shared" si="1"/>
        <v>0.40675999999999846</v>
      </c>
      <c r="H69" s="6"/>
    </row>
    <row r="70" spans="1:8" x14ac:dyDescent="0.15">
      <c r="A70" s="9">
        <v>44816</v>
      </c>
      <c r="B70" s="3" t="s">
        <v>0</v>
      </c>
      <c r="C70" s="5">
        <v>31.006550000000001</v>
      </c>
      <c r="D70" s="5">
        <v>0.34113845999999998</v>
      </c>
      <c r="E70" s="5">
        <v>32.003300000000003</v>
      </c>
      <c r="F70" s="5">
        <v>0.25062298</v>
      </c>
      <c r="G70" s="5">
        <f t="shared" si="1"/>
        <v>0.99675000000000225</v>
      </c>
      <c r="H70" s="6"/>
    </row>
    <row r="71" spans="1:8" x14ac:dyDescent="0.15">
      <c r="A71" s="9">
        <v>44817</v>
      </c>
      <c r="B71" s="3" t="s">
        <v>0</v>
      </c>
      <c r="C71" s="5">
        <v>30.043330000000001</v>
      </c>
      <c r="D71" s="5">
        <v>0.31558973000000001</v>
      </c>
      <c r="E71" s="5">
        <v>31.061879999999999</v>
      </c>
      <c r="F71" s="5">
        <v>0.25986427000000001</v>
      </c>
      <c r="G71" s="5">
        <f t="shared" si="1"/>
        <v>1.0185499999999976</v>
      </c>
      <c r="H71" s="6"/>
    </row>
    <row r="72" spans="1:8" x14ac:dyDescent="0.15">
      <c r="A72" s="9">
        <v>44818</v>
      </c>
      <c r="B72" s="3" t="s">
        <v>0</v>
      </c>
      <c r="C72" s="5">
        <v>28.526499999999999</v>
      </c>
      <c r="D72" s="5">
        <v>0.36475381000000001</v>
      </c>
      <c r="E72" s="5">
        <v>29.425699999999999</v>
      </c>
      <c r="F72" s="5">
        <v>0.37203678000000001</v>
      </c>
      <c r="G72" s="5">
        <f t="shared" si="1"/>
        <v>0.89920000000000044</v>
      </c>
      <c r="H72" s="6"/>
    </row>
    <row r="73" spans="1:8" x14ac:dyDescent="0.15">
      <c r="A73" s="9">
        <v>44819</v>
      </c>
      <c r="B73" s="3" t="s">
        <v>0</v>
      </c>
      <c r="C73" s="5">
        <v>26.295169999999999</v>
      </c>
      <c r="D73" s="5">
        <v>0.41626162</v>
      </c>
      <c r="E73" s="5">
        <v>27.138079999999999</v>
      </c>
      <c r="F73" s="5">
        <v>0.40100690999999999</v>
      </c>
      <c r="G73" s="5">
        <f t="shared" si="1"/>
        <v>0.84290999999999983</v>
      </c>
      <c r="H73" s="6"/>
    </row>
    <row r="74" spans="1:8" x14ac:dyDescent="0.15">
      <c r="A74" s="9">
        <v>44820</v>
      </c>
      <c r="B74" s="3" t="s">
        <v>0</v>
      </c>
      <c r="C74" s="5">
        <v>27.234380000000002</v>
      </c>
      <c r="D74" s="5">
        <v>0.34016500999999999</v>
      </c>
      <c r="E74" s="5">
        <v>28.146239999999999</v>
      </c>
      <c r="F74" s="5">
        <v>0.36626822999999997</v>
      </c>
      <c r="G74" s="5">
        <f t="shared" si="1"/>
        <v>0.91185999999999723</v>
      </c>
      <c r="H74" s="6"/>
    </row>
    <row r="75" spans="1:8" x14ac:dyDescent="0.15">
      <c r="A75" s="9">
        <v>44821</v>
      </c>
      <c r="B75" s="3" t="s">
        <v>0</v>
      </c>
      <c r="C75" s="5">
        <v>29.905950000000001</v>
      </c>
      <c r="D75" s="5">
        <v>0.22831079000000001</v>
      </c>
      <c r="E75" s="5">
        <v>30.750450000000001</v>
      </c>
      <c r="F75" s="5">
        <v>0.26277758000000001</v>
      </c>
      <c r="G75" s="5">
        <f t="shared" si="1"/>
        <v>0.84450000000000003</v>
      </c>
      <c r="H75" s="6"/>
    </row>
    <row r="76" spans="1:8" x14ac:dyDescent="0.15">
      <c r="A76" s="9">
        <v>44822</v>
      </c>
      <c r="B76" s="3" t="s">
        <v>0</v>
      </c>
      <c r="C76" s="5">
        <v>30.814520000000002</v>
      </c>
      <c r="D76" s="5">
        <v>0.22114268000000001</v>
      </c>
      <c r="E76" s="5">
        <v>31.672809999999998</v>
      </c>
      <c r="F76" s="5">
        <v>0.30726266000000002</v>
      </c>
      <c r="G76" s="5">
        <f t="shared" si="1"/>
        <v>0.85828999999999667</v>
      </c>
      <c r="H76" s="6"/>
    </row>
    <row r="77" spans="1:8" x14ac:dyDescent="0.15">
      <c r="A77" s="9">
        <v>44823</v>
      </c>
      <c r="B77" s="3" t="s">
        <v>0</v>
      </c>
      <c r="C77" s="5">
        <v>31.621449999999999</v>
      </c>
      <c r="D77" s="5">
        <v>0.15707576000000001</v>
      </c>
      <c r="E77" s="5">
        <v>32.220190000000002</v>
      </c>
      <c r="F77" s="5">
        <v>0.22653786000000001</v>
      </c>
      <c r="G77" s="5">
        <f t="shared" si="1"/>
        <v>0.59874000000000294</v>
      </c>
      <c r="H77" s="6"/>
    </row>
    <row r="78" spans="1:8" x14ac:dyDescent="0.15">
      <c r="A78" s="9">
        <v>44824</v>
      </c>
      <c r="B78" s="3" t="s">
        <v>0</v>
      </c>
      <c r="C78" s="5">
        <v>29.25478</v>
      </c>
      <c r="D78" s="5">
        <v>0.35104340000000001</v>
      </c>
      <c r="E78" s="5">
        <v>30.048950000000001</v>
      </c>
      <c r="F78" s="5">
        <v>0.36493361000000002</v>
      </c>
      <c r="G78" s="5">
        <f t="shared" si="1"/>
        <v>0.79417000000000115</v>
      </c>
      <c r="H78" s="6"/>
    </row>
    <row r="79" spans="1:8" x14ac:dyDescent="0.15">
      <c r="A79" s="9">
        <v>44825</v>
      </c>
      <c r="B79" s="3" t="s">
        <v>0</v>
      </c>
      <c r="C79" s="5">
        <v>30.375810000000001</v>
      </c>
      <c r="D79" s="5">
        <v>0.29936684000000002</v>
      </c>
      <c r="E79" s="5">
        <v>31.269629999999999</v>
      </c>
      <c r="F79" s="5">
        <v>0.31212858999999998</v>
      </c>
      <c r="G79" s="5">
        <f t="shared" si="1"/>
        <v>0.89381999999999806</v>
      </c>
      <c r="H79" s="6"/>
    </row>
    <row r="80" spans="1:8" x14ac:dyDescent="0.15">
      <c r="A80" s="9">
        <v>44826</v>
      </c>
      <c r="B80" s="3" t="s">
        <v>0</v>
      </c>
      <c r="C80" s="5">
        <v>18.599139999999998</v>
      </c>
      <c r="D80" s="5">
        <v>0.14112641000000001</v>
      </c>
      <c r="E80" s="5">
        <v>19.130400000000002</v>
      </c>
      <c r="F80" s="5">
        <v>9.6979860000000001E-2</v>
      </c>
      <c r="G80" s="5">
        <f t="shared" si="1"/>
        <v>0.53126000000000317</v>
      </c>
      <c r="H80" s="6"/>
    </row>
    <row r="81" spans="1:8" x14ac:dyDescent="0.15">
      <c r="A81" s="9">
        <v>44827</v>
      </c>
      <c r="B81" s="3" t="s">
        <v>0</v>
      </c>
      <c r="C81" s="5">
        <v>20.37951</v>
      </c>
      <c r="D81" s="5">
        <v>0.32993918999999999</v>
      </c>
      <c r="E81" s="5">
        <v>21.240469999999998</v>
      </c>
      <c r="F81" s="5">
        <v>0.36590731999999998</v>
      </c>
      <c r="G81" s="5">
        <f t="shared" si="1"/>
        <v>0.86095999999999862</v>
      </c>
      <c r="H81" s="6"/>
    </row>
    <row r="82" spans="1:8" x14ac:dyDescent="0.15">
      <c r="A82" s="9">
        <v>44828</v>
      </c>
      <c r="B82" s="3" t="s">
        <v>0</v>
      </c>
      <c r="C82" s="5">
        <v>22.92953</v>
      </c>
      <c r="D82" s="5">
        <v>0.36839017000000002</v>
      </c>
      <c r="E82" s="5">
        <v>23.922139999999999</v>
      </c>
      <c r="F82" s="5">
        <v>0.40634228</v>
      </c>
      <c r="G82" s="5">
        <f t="shared" si="1"/>
        <v>0.9926099999999991</v>
      </c>
      <c r="H82" s="6"/>
    </row>
    <row r="83" spans="1:8" x14ac:dyDescent="0.15">
      <c r="A83" s="9">
        <v>44829</v>
      </c>
      <c r="B83" s="3" t="s">
        <v>0</v>
      </c>
      <c r="C83" s="5">
        <v>23.215530000000001</v>
      </c>
      <c r="D83" s="5">
        <v>0.17198037999999999</v>
      </c>
      <c r="E83" s="5">
        <v>23.715579999999999</v>
      </c>
      <c r="F83" s="5">
        <v>0.18588366000000001</v>
      </c>
      <c r="G83" s="5">
        <f t="shared" si="1"/>
        <v>0.50004999999999811</v>
      </c>
      <c r="H83" s="6"/>
    </row>
    <row r="84" spans="1:8" x14ac:dyDescent="0.15">
      <c r="A84" s="9">
        <v>44830</v>
      </c>
      <c r="B84" s="3" t="s">
        <v>0</v>
      </c>
      <c r="C84" s="5">
        <v>25.162389999999998</v>
      </c>
      <c r="D84" s="5">
        <v>0.22248576</v>
      </c>
      <c r="E84" s="5">
        <v>25.869340000000001</v>
      </c>
      <c r="F84" s="5">
        <v>0.22826414</v>
      </c>
      <c r="G84" s="5">
        <f t="shared" si="1"/>
        <v>0.70695000000000263</v>
      </c>
      <c r="H84" s="6"/>
    </row>
    <row r="85" spans="1:8" x14ac:dyDescent="0.15">
      <c r="A85" s="9">
        <v>44831</v>
      </c>
      <c r="B85" s="3" t="s">
        <v>0</v>
      </c>
      <c r="C85" s="5">
        <v>23.425439999999998</v>
      </c>
      <c r="D85" s="5">
        <v>0.26615301000000002</v>
      </c>
      <c r="E85" s="5">
        <v>24.2288</v>
      </c>
      <c r="F85" s="5">
        <v>0.30127531000000002</v>
      </c>
      <c r="G85" s="5">
        <f t="shared" si="1"/>
        <v>0.80336000000000141</v>
      </c>
      <c r="H85" s="6"/>
    </row>
    <row r="86" spans="1:8" x14ac:dyDescent="0.15">
      <c r="A86" s="9">
        <v>44832</v>
      </c>
      <c r="B86" s="3" t="s">
        <v>0</v>
      </c>
      <c r="C86" s="5">
        <v>21.218109999999999</v>
      </c>
      <c r="D86" s="5">
        <v>0.17291135999999999</v>
      </c>
      <c r="E86" s="5">
        <v>21.682580000000002</v>
      </c>
      <c r="F86" s="5">
        <v>0.16700796000000001</v>
      </c>
      <c r="G86" s="5">
        <f t="shared" si="1"/>
        <v>0.46447000000000216</v>
      </c>
      <c r="H86" s="6"/>
    </row>
    <row r="87" spans="1:8" x14ac:dyDescent="0.15">
      <c r="A87" s="9">
        <v>44833</v>
      </c>
      <c r="B87" s="3" t="s">
        <v>0</v>
      </c>
      <c r="C87" s="5">
        <v>21.71095</v>
      </c>
      <c r="D87" s="5">
        <v>0.32607888000000002</v>
      </c>
      <c r="E87" s="5">
        <v>22.484580000000001</v>
      </c>
      <c r="F87" s="5">
        <v>0.30460618</v>
      </c>
      <c r="G87" s="5">
        <f t="shared" si="1"/>
        <v>0.77363000000000071</v>
      </c>
      <c r="H87" s="6"/>
    </row>
    <row r="88" spans="1:8" x14ac:dyDescent="0.15">
      <c r="A88" s="9">
        <v>44834</v>
      </c>
      <c r="B88" s="3" t="s">
        <v>0</v>
      </c>
      <c r="C88" s="5">
        <v>18.07668</v>
      </c>
      <c r="D88" s="5">
        <v>0.10465584999999999</v>
      </c>
      <c r="E88" s="5">
        <v>18.273980000000002</v>
      </c>
      <c r="F88" s="5">
        <v>4.9079900000000003E-2</v>
      </c>
      <c r="G88" s="5">
        <f t="shared" si="1"/>
        <v>0.19730000000000203</v>
      </c>
      <c r="H88" s="6"/>
    </row>
    <row r="89" spans="1:8" x14ac:dyDescent="0.15">
      <c r="A89" s="9">
        <v>44835</v>
      </c>
      <c r="B89" s="3" t="s">
        <v>0</v>
      </c>
      <c r="C89" s="5">
        <v>15.63902</v>
      </c>
      <c r="D89" s="5">
        <v>0.11018082999999999</v>
      </c>
      <c r="E89" s="5">
        <v>15.933529999999999</v>
      </c>
      <c r="F89" s="5">
        <v>3.5650880000000003E-2</v>
      </c>
      <c r="G89" s="5">
        <f t="shared" si="1"/>
        <v>0.29450999999999894</v>
      </c>
      <c r="H89" s="6"/>
    </row>
    <row r="90" spans="1:8" x14ac:dyDescent="0.15">
      <c r="A90" s="9">
        <v>44836</v>
      </c>
      <c r="B90" s="3" t="s">
        <v>0</v>
      </c>
      <c r="C90" s="5">
        <v>12.537419999999999</v>
      </c>
      <c r="D90" s="5">
        <v>3.2520670000000002E-2</v>
      </c>
      <c r="E90" s="5">
        <v>12.7021</v>
      </c>
      <c r="F90" s="5">
        <v>1.93329E-2</v>
      </c>
      <c r="G90" s="5">
        <f t="shared" si="1"/>
        <v>0.1646800000000006</v>
      </c>
      <c r="H90" s="6"/>
    </row>
    <row r="91" spans="1:8" x14ac:dyDescent="0.15">
      <c r="A91" s="9">
        <v>44837</v>
      </c>
      <c r="B91" s="3" t="s">
        <v>0</v>
      </c>
      <c r="C91" s="5">
        <v>10.27647</v>
      </c>
      <c r="D91" s="5">
        <v>0.10840443</v>
      </c>
      <c r="E91" s="5">
        <v>10.79978</v>
      </c>
      <c r="F91" s="5">
        <v>8.4749550000000007E-2</v>
      </c>
      <c r="G91" s="5">
        <f t="shared" si="1"/>
        <v>0.52331000000000039</v>
      </c>
      <c r="H91" s="6"/>
    </row>
    <row r="92" spans="1:8" x14ac:dyDescent="0.15">
      <c r="A92" s="9">
        <v>44838</v>
      </c>
      <c r="B92" s="3" t="s">
        <v>0</v>
      </c>
      <c r="C92" s="5">
        <v>10.5497</v>
      </c>
      <c r="D92" s="5">
        <v>5.1202810000000001E-2</v>
      </c>
      <c r="E92" s="5">
        <v>10.78389</v>
      </c>
      <c r="F92" s="5">
        <v>4.2366510000000003E-2</v>
      </c>
      <c r="G92" s="5">
        <f t="shared" si="1"/>
        <v>0.2341899999999999</v>
      </c>
      <c r="H92" s="6"/>
    </row>
    <row r="93" spans="1:8" x14ac:dyDescent="0.15">
      <c r="A93" s="9">
        <v>44839</v>
      </c>
      <c r="B93" s="3" t="s">
        <v>0</v>
      </c>
      <c r="C93" s="5">
        <v>16.509789999999999</v>
      </c>
      <c r="D93" s="5">
        <v>0.15577625</v>
      </c>
      <c r="E93" s="5">
        <v>16.89124</v>
      </c>
      <c r="F93" s="5">
        <v>7.4993149999999995E-2</v>
      </c>
      <c r="G93" s="5">
        <f t="shared" si="1"/>
        <v>0.38145000000000095</v>
      </c>
      <c r="H93" s="6"/>
    </row>
    <row r="94" spans="1:8" x14ac:dyDescent="0.15">
      <c r="A94" s="9">
        <v>44840</v>
      </c>
      <c r="B94" s="3" t="s">
        <v>0</v>
      </c>
      <c r="C94" s="5">
        <v>24.099589999999999</v>
      </c>
      <c r="D94" s="5">
        <v>0.40479020999999998</v>
      </c>
      <c r="E94" s="5">
        <v>25.309249999999999</v>
      </c>
      <c r="F94" s="5">
        <v>0.45549944999999997</v>
      </c>
      <c r="G94" s="5">
        <f t="shared" si="1"/>
        <v>1.2096599999999995</v>
      </c>
      <c r="H94" s="6"/>
    </row>
    <row r="95" spans="1:8" x14ac:dyDescent="0.15">
      <c r="A95" s="9">
        <v>44841</v>
      </c>
      <c r="B95" s="3" t="s">
        <v>0</v>
      </c>
      <c r="C95" s="5">
        <v>25.566880000000001</v>
      </c>
      <c r="D95" s="5">
        <v>0.36072559999999998</v>
      </c>
      <c r="E95" s="5">
        <v>26.611360000000001</v>
      </c>
      <c r="F95" s="5">
        <v>0.40995227000000001</v>
      </c>
      <c r="G95" s="5">
        <f t="shared" si="1"/>
        <v>1.0444800000000001</v>
      </c>
      <c r="H95" s="6"/>
    </row>
    <row r="96" spans="1:8" x14ac:dyDescent="0.15">
      <c r="A96" s="9">
        <v>44842</v>
      </c>
      <c r="B96" s="3" t="s">
        <v>0</v>
      </c>
      <c r="C96" s="5">
        <v>16.533280000000001</v>
      </c>
      <c r="D96" s="5">
        <v>0.36007134000000002</v>
      </c>
      <c r="E96" s="5">
        <v>17.550239999999999</v>
      </c>
      <c r="F96" s="5">
        <v>0.45030568999999998</v>
      </c>
      <c r="G96" s="5">
        <f t="shared" si="1"/>
        <v>1.0169599999999974</v>
      </c>
      <c r="H96" s="6"/>
    </row>
    <row r="97" spans="1:8" x14ac:dyDescent="0.15">
      <c r="A97" s="9">
        <v>44843</v>
      </c>
      <c r="B97" s="3" t="s">
        <v>0</v>
      </c>
      <c r="C97" s="5">
        <v>18.079740000000001</v>
      </c>
      <c r="D97" s="5">
        <v>0.34642257999999998</v>
      </c>
      <c r="E97" s="5">
        <v>19.15344</v>
      </c>
      <c r="F97" s="5">
        <v>0.45292642999999999</v>
      </c>
      <c r="G97" s="5">
        <f t="shared" si="1"/>
        <v>1.0736999999999988</v>
      </c>
      <c r="H97" s="6"/>
    </row>
    <row r="98" spans="1:8" x14ac:dyDescent="0.15">
      <c r="A98" s="9">
        <v>44844</v>
      </c>
      <c r="B98" s="3" t="s">
        <v>0</v>
      </c>
      <c r="C98" s="5">
        <v>20.822299999999998</v>
      </c>
      <c r="D98" s="5">
        <v>0.3515008</v>
      </c>
      <c r="E98" s="5">
        <v>21.921309999999998</v>
      </c>
      <c r="F98" s="5">
        <v>0.45441841999999999</v>
      </c>
      <c r="G98" s="5">
        <f t="shared" si="1"/>
        <v>1.0990099999999998</v>
      </c>
      <c r="H98" s="6"/>
    </row>
    <row r="99" spans="1:8" x14ac:dyDescent="0.15">
      <c r="A99" s="9">
        <v>44845</v>
      </c>
      <c r="B99" s="3" t="s">
        <v>0</v>
      </c>
      <c r="C99" s="5">
        <v>23.76915</v>
      </c>
      <c r="D99" s="5">
        <v>0.31998026000000002</v>
      </c>
      <c r="E99" s="5">
        <v>24.77657</v>
      </c>
      <c r="F99" s="5">
        <v>0.41192492000000003</v>
      </c>
      <c r="G99" s="5">
        <f t="shared" si="1"/>
        <v>1.0074199999999998</v>
      </c>
      <c r="H99" s="6"/>
    </row>
    <row r="100" spans="1:8" x14ac:dyDescent="0.15">
      <c r="A100" s="9">
        <v>44846</v>
      </c>
      <c r="B100" s="3" t="s">
        <v>0</v>
      </c>
      <c r="C100" s="5">
        <v>22.45711</v>
      </c>
      <c r="D100" s="5">
        <v>0.18909548000000001</v>
      </c>
      <c r="E100" s="5">
        <v>23.12848</v>
      </c>
      <c r="F100" s="5">
        <v>0.23667911</v>
      </c>
      <c r="G100" s="5">
        <f t="shared" si="1"/>
        <v>0.67136999999999958</v>
      </c>
      <c r="H100" s="6"/>
    </row>
    <row r="101" spans="1:8" x14ac:dyDescent="0.15">
      <c r="A101" s="9">
        <v>44847</v>
      </c>
      <c r="B101" s="3" t="s">
        <v>0</v>
      </c>
      <c r="C101" s="5">
        <v>20.744160000000001</v>
      </c>
      <c r="D101" s="5">
        <v>5.212754E-2</v>
      </c>
      <c r="E101" s="5">
        <v>21.002929999999999</v>
      </c>
      <c r="F101" s="5">
        <v>3.7300649999999998E-2</v>
      </c>
      <c r="G101" s="5">
        <f t="shared" si="1"/>
        <v>0.25876999999999839</v>
      </c>
      <c r="H101" s="6"/>
    </row>
    <row r="102" spans="1:8" x14ac:dyDescent="0.15">
      <c r="A102" s="9">
        <v>44848</v>
      </c>
      <c r="B102" s="3" t="s">
        <v>0</v>
      </c>
      <c r="C102" s="5">
        <v>20.361630000000002</v>
      </c>
      <c r="D102" s="5">
        <v>0.42879724000000002</v>
      </c>
      <c r="E102" s="5">
        <v>21.69688</v>
      </c>
      <c r="F102" s="5">
        <v>0.52593624000000005</v>
      </c>
      <c r="G102" s="5">
        <f t="shared" si="1"/>
        <v>1.3352499999999985</v>
      </c>
      <c r="H102" s="6"/>
    </row>
    <row r="103" spans="1:8" x14ac:dyDescent="0.15">
      <c r="A103" s="9">
        <v>44849</v>
      </c>
      <c r="B103" s="3" t="s">
        <v>0</v>
      </c>
      <c r="C103" s="5">
        <v>22.850370000000002</v>
      </c>
      <c r="D103" s="5">
        <v>0.26622062000000002</v>
      </c>
      <c r="E103" s="5">
        <v>23.87368</v>
      </c>
      <c r="F103" s="5">
        <v>0.41799818999999999</v>
      </c>
      <c r="G103" s="5">
        <f t="shared" si="1"/>
        <v>1.0233099999999986</v>
      </c>
      <c r="H103" s="6"/>
    </row>
    <row r="104" spans="1:8" x14ac:dyDescent="0.15">
      <c r="A104" s="9">
        <v>44850</v>
      </c>
      <c r="B104" s="3" t="s">
        <v>0</v>
      </c>
      <c r="C104" s="5">
        <v>19.4117</v>
      </c>
      <c r="D104" s="5">
        <v>0.42660809</v>
      </c>
      <c r="E104" s="5">
        <v>20.625160000000001</v>
      </c>
      <c r="F104" s="5">
        <v>0.49352068999999998</v>
      </c>
      <c r="G104" s="5">
        <f t="shared" si="1"/>
        <v>1.2134600000000013</v>
      </c>
      <c r="H104" s="6"/>
    </row>
    <row r="105" spans="1:8" x14ac:dyDescent="0.15">
      <c r="A105" s="9">
        <v>44851</v>
      </c>
      <c r="B105" s="3" t="s">
        <v>0</v>
      </c>
      <c r="C105" s="5">
        <v>21.497979999999998</v>
      </c>
      <c r="D105" s="5">
        <v>0.17081672000000001</v>
      </c>
      <c r="E105" s="5">
        <v>22.273250000000001</v>
      </c>
      <c r="F105" s="5">
        <v>0.30362647999999998</v>
      </c>
      <c r="G105" s="5">
        <f t="shared" si="1"/>
        <v>0.77527000000000257</v>
      </c>
      <c r="H105" s="6"/>
    </row>
    <row r="106" spans="1:8" x14ac:dyDescent="0.15">
      <c r="A106" s="9">
        <v>44852</v>
      </c>
      <c r="B106" s="3" t="s">
        <v>0</v>
      </c>
      <c r="C106" s="5">
        <v>14.48019</v>
      </c>
      <c r="D106" s="5">
        <v>0.28071831000000003</v>
      </c>
      <c r="E106" s="5">
        <v>15.62171</v>
      </c>
      <c r="F106" s="5">
        <v>0.43736314999999998</v>
      </c>
      <c r="G106" s="5">
        <f t="shared" si="1"/>
        <v>1.1415199999999999</v>
      </c>
      <c r="H106" s="6"/>
    </row>
    <row r="107" spans="1:8" x14ac:dyDescent="0.15">
      <c r="A107" s="9">
        <v>44853</v>
      </c>
      <c r="B107" s="3" t="s">
        <v>0</v>
      </c>
      <c r="C107" s="5">
        <v>12.91944</v>
      </c>
      <c r="D107" s="5">
        <v>9.4871910000000004E-2</v>
      </c>
      <c r="E107" s="5">
        <v>13.2173</v>
      </c>
      <c r="F107" s="5">
        <v>0.12862728000000001</v>
      </c>
      <c r="G107" s="5">
        <f t="shared" si="1"/>
        <v>0.29786000000000001</v>
      </c>
      <c r="H107" s="6"/>
    </row>
    <row r="108" spans="1:8" x14ac:dyDescent="0.15">
      <c r="A108" s="9">
        <v>44854</v>
      </c>
      <c r="B108" s="3" t="s">
        <v>0</v>
      </c>
      <c r="C108" s="5">
        <v>16.39743</v>
      </c>
      <c r="D108" s="5">
        <v>0.26267525000000003</v>
      </c>
      <c r="E108" s="5">
        <v>17.36354</v>
      </c>
      <c r="F108" s="5">
        <v>0.50460788999999995</v>
      </c>
      <c r="G108" s="5">
        <f t="shared" si="1"/>
        <v>0.96611000000000047</v>
      </c>
      <c r="H108" s="6"/>
    </row>
    <row r="109" spans="1:8" x14ac:dyDescent="0.15">
      <c r="A109" s="9">
        <v>44855</v>
      </c>
      <c r="B109" s="3" t="s">
        <v>0</v>
      </c>
      <c r="C109" s="5">
        <v>18.4541</v>
      </c>
      <c r="D109" s="5">
        <v>0.33073235000000001</v>
      </c>
      <c r="E109" s="5">
        <v>19.57649</v>
      </c>
      <c r="F109" s="5">
        <v>0.56785121999999999</v>
      </c>
      <c r="G109" s="5">
        <f t="shared" si="1"/>
        <v>1.1223899999999993</v>
      </c>
      <c r="H109" s="6"/>
    </row>
    <row r="110" spans="1:8" x14ac:dyDescent="0.15">
      <c r="A110" s="9">
        <v>44856</v>
      </c>
      <c r="B110" s="3" t="s">
        <v>0</v>
      </c>
      <c r="C110" s="5">
        <v>20.175219999999999</v>
      </c>
      <c r="D110" s="5">
        <v>0.33081855999999998</v>
      </c>
      <c r="E110" s="5">
        <v>21.315940000000001</v>
      </c>
      <c r="F110" s="5">
        <v>0.57740274000000003</v>
      </c>
      <c r="G110" s="5">
        <f t="shared" si="1"/>
        <v>1.1407200000000017</v>
      </c>
      <c r="H110" s="6"/>
    </row>
    <row r="111" spans="1:8" x14ac:dyDescent="0.15">
      <c r="A111" s="9">
        <v>44857</v>
      </c>
      <c r="B111" s="3" t="s">
        <v>0</v>
      </c>
      <c r="C111" s="5">
        <v>17.495989999999999</v>
      </c>
      <c r="D111" s="5">
        <v>6.0276379999999997E-2</v>
      </c>
      <c r="E111" s="5">
        <v>17.693239999999999</v>
      </c>
      <c r="F111" s="5">
        <v>5.4870389999999998E-2</v>
      </c>
      <c r="G111" s="5">
        <f t="shared" si="1"/>
        <v>0.19725000000000037</v>
      </c>
      <c r="H111" s="6"/>
    </row>
    <row r="112" spans="1:8" x14ac:dyDescent="0.15">
      <c r="A112" s="9">
        <v>44858</v>
      </c>
      <c r="B112" s="3" t="s">
        <v>0</v>
      </c>
      <c r="C112" s="5">
        <v>16.16506</v>
      </c>
      <c r="D112" s="5">
        <v>8.7746610000000003E-2</v>
      </c>
      <c r="E112" s="5">
        <v>16.39789</v>
      </c>
      <c r="F112" s="5">
        <v>4.3427250000000001E-2</v>
      </c>
      <c r="G112" s="5">
        <f t="shared" si="1"/>
        <v>0.23282999999999987</v>
      </c>
      <c r="H112" s="6"/>
    </row>
    <row r="113" spans="1:8" x14ac:dyDescent="0.15">
      <c r="A113" s="9">
        <v>44859</v>
      </c>
      <c r="B113" s="3" t="s">
        <v>0</v>
      </c>
      <c r="C113" s="5">
        <v>21.82433</v>
      </c>
      <c r="D113" s="5">
        <v>0.17837987999999999</v>
      </c>
      <c r="E113" s="5">
        <v>22.329660000000001</v>
      </c>
      <c r="F113" s="5">
        <v>0.1514905</v>
      </c>
      <c r="G113" s="5">
        <f t="shared" si="1"/>
        <v>0.50533000000000072</v>
      </c>
      <c r="H113" s="6"/>
    </row>
    <row r="114" spans="1:8" x14ac:dyDescent="0.15">
      <c r="A114" s="9">
        <v>44860</v>
      </c>
      <c r="B114" s="3" t="s">
        <v>0</v>
      </c>
      <c r="C114" s="5">
        <v>20.31822</v>
      </c>
      <c r="D114" s="5">
        <v>6.6152730000000007E-2</v>
      </c>
      <c r="E114" s="5">
        <v>20.582260000000002</v>
      </c>
      <c r="F114" s="5">
        <v>6.8911529999999999E-2</v>
      </c>
      <c r="G114" s="5">
        <f t="shared" si="1"/>
        <v>0.26404000000000138</v>
      </c>
      <c r="H114" s="6"/>
    </row>
    <row r="115" spans="1:8" x14ac:dyDescent="0.15">
      <c r="A115" s="9">
        <v>44861</v>
      </c>
      <c r="B115" s="3" t="s">
        <v>0</v>
      </c>
      <c r="C115" s="5">
        <v>18.12724</v>
      </c>
      <c r="D115" s="5">
        <v>0.26469353000000001</v>
      </c>
      <c r="E115" s="5">
        <v>19.079160000000002</v>
      </c>
      <c r="F115" s="5">
        <v>0.51193233999999999</v>
      </c>
      <c r="G115" s="5">
        <f t="shared" si="1"/>
        <v>0.95192000000000121</v>
      </c>
      <c r="H115" s="6"/>
    </row>
    <row r="116" spans="1:8" x14ac:dyDescent="0.15">
      <c r="A116" s="9">
        <v>44862</v>
      </c>
      <c r="B116" s="3" t="s">
        <v>0</v>
      </c>
      <c r="C116" s="5">
        <v>15.28253</v>
      </c>
      <c r="D116" s="5">
        <v>0.11950059</v>
      </c>
      <c r="E116" s="5">
        <v>15.6515</v>
      </c>
      <c r="F116" s="5">
        <v>0.13097719999999999</v>
      </c>
      <c r="G116" s="5">
        <f t="shared" si="1"/>
        <v>0.36897000000000091</v>
      </c>
      <c r="H116" s="6"/>
    </row>
    <row r="117" spans="1:8" x14ac:dyDescent="0.15">
      <c r="A117" s="9">
        <v>44863</v>
      </c>
      <c r="B117" s="3" t="s">
        <v>0</v>
      </c>
      <c r="C117" s="5">
        <v>15.945959999999999</v>
      </c>
      <c r="D117" s="5">
        <v>0.29194963000000002</v>
      </c>
      <c r="E117" s="5">
        <v>17.023520000000001</v>
      </c>
      <c r="F117" s="5">
        <v>0.53276418999999997</v>
      </c>
      <c r="G117" s="5">
        <f t="shared" si="1"/>
        <v>1.0775600000000018</v>
      </c>
      <c r="H117" s="6"/>
    </row>
    <row r="118" spans="1:8" x14ac:dyDescent="0.15">
      <c r="A118" s="9">
        <v>44864</v>
      </c>
      <c r="B118" s="3" t="s">
        <v>0</v>
      </c>
      <c r="C118" s="5">
        <v>17.80753</v>
      </c>
      <c r="D118" s="5">
        <v>0.25500598000000002</v>
      </c>
      <c r="E118" s="5">
        <v>18.886900000000001</v>
      </c>
      <c r="F118" s="5">
        <v>0.49372344000000001</v>
      </c>
      <c r="G118" s="5">
        <f t="shared" si="1"/>
        <v>1.0793700000000008</v>
      </c>
      <c r="H118" s="6"/>
    </row>
    <row r="119" spans="1:8" x14ac:dyDescent="0.15">
      <c r="A119" s="9">
        <v>44865</v>
      </c>
      <c r="B119" s="3" t="s">
        <v>0</v>
      </c>
      <c r="C119" s="5">
        <v>18.43469</v>
      </c>
      <c r="D119" s="5">
        <v>6.3621590000000006E-2</v>
      </c>
      <c r="E119" s="5">
        <v>18.656120000000001</v>
      </c>
      <c r="F119" s="5">
        <v>6.4344460000000006E-2</v>
      </c>
      <c r="G119" s="5">
        <f t="shared" si="1"/>
        <v>0.22143000000000157</v>
      </c>
      <c r="H119" s="6"/>
    </row>
    <row r="120" spans="1:8" x14ac:dyDescent="0.15">
      <c r="A120" s="9">
        <v>44866</v>
      </c>
      <c r="B120" s="3" t="s">
        <v>0</v>
      </c>
      <c r="C120" s="5">
        <v>21.362130000000001</v>
      </c>
      <c r="D120" s="5">
        <v>0.22371743999999999</v>
      </c>
      <c r="E120" s="5">
        <v>22.218039999999998</v>
      </c>
      <c r="F120" s="5">
        <v>0.2987477</v>
      </c>
      <c r="G120" s="5">
        <f t="shared" si="1"/>
        <v>0.85590999999999795</v>
      </c>
      <c r="H120" s="6"/>
    </row>
    <row r="121" spans="1:8" x14ac:dyDescent="0.15">
      <c r="A121" s="9">
        <v>44867</v>
      </c>
      <c r="B121" s="3" t="s">
        <v>0</v>
      </c>
      <c r="C121" s="5">
        <v>20.735990000000001</v>
      </c>
      <c r="D121" s="5">
        <v>0.21568328</v>
      </c>
      <c r="E121" s="5">
        <v>21.66947</v>
      </c>
      <c r="F121" s="5">
        <v>0.39232191</v>
      </c>
      <c r="G121" s="5">
        <f t="shared" si="1"/>
        <v>0.93347999999999942</v>
      </c>
      <c r="H121" s="6"/>
    </row>
    <row r="122" spans="1:8" x14ac:dyDescent="0.15">
      <c r="A122" s="9">
        <v>44868</v>
      </c>
      <c r="B122" s="3" t="s">
        <v>0</v>
      </c>
      <c r="C122" s="5">
        <v>20.868269999999999</v>
      </c>
      <c r="D122" s="5">
        <v>0.24783168</v>
      </c>
      <c r="E122" s="5">
        <v>21.883579999999998</v>
      </c>
      <c r="F122" s="5">
        <v>0.46385578999999999</v>
      </c>
      <c r="G122" s="5">
        <f t="shared" si="1"/>
        <v>1.0153099999999995</v>
      </c>
      <c r="H122" s="6"/>
    </row>
    <row r="123" spans="1:8" x14ac:dyDescent="0.15">
      <c r="A123" s="9">
        <v>44869</v>
      </c>
      <c r="B123" s="3" t="s">
        <v>0</v>
      </c>
      <c r="C123" s="5">
        <v>21.831479999999999</v>
      </c>
      <c r="D123" s="5">
        <v>0.22076177</v>
      </c>
      <c r="E123" s="5">
        <v>22.795210000000001</v>
      </c>
      <c r="F123" s="5">
        <v>0.42790847999999998</v>
      </c>
      <c r="G123" s="5">
        <f t="shared" si="1"/>
        <v>0.96373000000000175</v>
      </c>
      <c r="H123" s="6"/>
    </row>
    <row r="124" spans="1:8" x14ac:dyDescent="0.15">
      <c r="A124" s="9">
        <v>44870</v>
      </c>
      <c r="B124" s="3" t="s">
        <v>0</v>
      </c>
      <c r="C124" s="5">
        <v>25.288540000000001</v>
      </c>
      <c r="D124" s="5">
        <v>0.10133021</v>
      </c>
      <c r="E124" s="5">
        <v>25.77957</v>
      </c>
      <c r="F124" s="5">
        <v>0.17679929999999999</v>
      </c>
      <c r="G124" s="5">
        <f t="shared" si="1"/>
        <v>0.49102999999999852</v>
      </c>
      <c r="H124" s="6"/>
    </row>
    <row r="125" spans="1:8" x14ac:dyDescent="0.15">
      <c r="A125" s="9">
        <v>44871</v>
      </c>
      <c r="B125" s="3" t="s">
        <v>0</v>
      </c>
      <c r="C125" s="5">
        <v>23.997949999999999</v>
      </c>
      <c r="D125" s="5">
        <v>8.6548899999999998E-2</v>
      </c>
      <c r="E125" s="5">
        <v>24.231580000000001</v>
      </c>
      <c r="F125" s="5">
        <v>7.032861E-2</v>
      </c>
      <c r="G125" s="5">
        <f t="shared" si="1"/>
        <v>0.23363000000000156</v>
      </c>
      <c r="H125" s="6"/>
    </row>
    <row r="126" spans="1:8" x14ac:dyDescent="0.15">
      <c r="A126" s="9">
        <v>44872</v>
      </c>
      <c r="B126" s="3" t="s">
        <v>0</v>
      </c>
      <c r="C126" s="5">
        <v>24.006119999999999</v>
      </c>
      <c r="D126" s="5">
        <v>0.29278987000000001</v>
      </c>
      <c r="E126" s="5">
        <v>24.508050000000001</v>
      </c>
      <c r="F126" s="5">
        <v>0.23997989</v>
      </c>
      <c r="G126" s="5">
        <f t="shared" si="1"/>
        <v>0.50193000000000154</v>
      </c>
      <c r="H126" s="6"/>
    </row>
    <row r="127" spans="1:8" x14ac:dyDescent="0.15">
      <c r="A127" s="9">
        <v>44873</v>
      </c>
      <c r="B127" s="3" t="s">
        <v>0</v>
      </c>
      <c r="C127" s="5">
        <v>15.123189999999999</v>
      </c>
      <c r="D127" s="5">
        <v>0.23860816000000001</v>
      </c>
      <c r="E127" s="5">
        <v>15.66342</v>
      </c>
      <c r="F127" s="5">
        <v>0.23096760999999999</v>
      </c>
      <c r="G127" s="5">
        <f t="shared" si="1"/>
        <v>0.5402300000000011</v>
      </c>
      <c r="H1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Skyler</dc:creator>
  <cp:lastModifiedBy>Berardi, Skyler</cp:lastModifiedBy>
  <dcterms:created xsi:type="dcterms:W3CDTF">2025-04-30T16:26:54Z</dcterms:created>
  <dcterms:modified xsi:type="dcterms:W3CDTF">2025-08-14T16:06:35Z</dcterms:modified>
</cp:coreProperties>
</file>